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ca5fb2b1e4e5af7/Desktop/"/>
    </mc:Choice>
  </mc:AlternateContent>
  <xr:revisionPtr revIDLastSave="287" documentId="11_F25DC773A252ABDACC104830895C538A5BDE58ED" xr6:coauthVersionLast="47" xr6:coauthVersionMax="47" xr10:uidLastSave="{5CCA5D57-03BF-4A91-B2DD-331F99F093B3}"/>
  <bookViews>
    <workbookView xWindow="9510" yWindow="0" windowWidth="97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F30" i="1"/>
  <c r="D57" i="1"/>
  <c r="D58" i="1"/>
  <c r="D56" i="1"/>
  <c r="H38" i="1"/>
  <c r="F38" i="1"/>
  <c r="H5" i="1"/>
  <c r="H6" i="1"/>
  <c r="H7" i="1"/>
  <c r="H8" i="1"/>
  <c r="H9" i="1"/>
  <c r="H10" i="1"/>
  <c r="H12" i="1"/>
  <c r="H13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2" i="1"/>
  <c r="H34" i="1"/>
  <c r="H36" i="1"/>
  <c r="H37" i="1"/>
  <c r="H39" i="1"/>
  <c r="H40" i="1"/>
  <c r="H41" i="1"/>
  <c r="H42" i="1"/>
  <c r="H43" i="1"/>
  <c r="H44" i="1"/>
  <c r="H45" i="1"/>
  <c r="H46" i="1"/>
  <c r="H47" i="1"/>
  <c r="H49" i="1"/>
  <c r="H51" i="1"/>
  <c r="H52" i="1"/>
  <c r="F5" i="1"/>
  <c r="F6" i="1"/>
  <c r="F7" i="1"/>
  <c r="F8" i="1"/>
  <c r="F9" i="1"/>
  <c r="F10" i="1"/>
  <c r="F12" i="1"/>
  <c r="F13" i="1"/>
  <c r="F15" i="1"/>
  <c r="F16" i="1"/>
  <c r="F17" i="1"/>
  <c r="F18" i="1"/>
  <c r="F19" i="1"/>
  <c r="F20" i="1"/>
  <c r="F21" i="1"/>
  <c r="F22" i="1"/>
  <c r="F24" i="1"/>
  <c r="F25" i="1"/>
  <c r="F26" i="1"/>
  <c r="F27" i="1"/>
  <c r="F28" i="1"/>
  <c r="F29" i="1"/>
  <c r="F31" i="1"/>
  <c r="F32" i="1"/>
  <c r="F34" i="1"/>
  <c r="F35" i="1"/>
  <c r="F36" i="1"/>
  <c r="F37" i="1"/>
  <c r="F39" i="1"/>
  <c r="F40" i="1"/>
  <c r="F41" i="1"/>
  <c r="F42" i="1"/>
  <c r="F43" i="1"/>
  <c r="F44" i="1"/>
  <c r="F45" i="1"/>
  <c r="F46" i="1"/>
  <c r="F47" i="1"/>
  <c r="F49" i="1"/>
  <c r="F51" i="1"/>
  <c r="F52" i="1"/>
  <c r="H3" i="1"/>
  <c r="F3" i="1"/>
  <c r="E3" i="1"/>
  <c r="G5" i="1"/>
  <c r="G6" i="1"/>
  <c r="G7" i="1"/>
  <c r="G8" i="1"/>
  <c r="G9" i="1"/>
  <c r="G10" i="1"/>
  <c r="G12" i="1"/>
  <c r="G13" i="1"/>
  <c r="G15" i="1"/>
  <c r="G16" i="1"/>
  <c r="G17" i="1"/>
  <c r="G18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9" i="1"/>
  <c r="G51" i="1"/>
  <c r="G52" i="1"/>
  <c r="G3" i="1"/>
  <c r="E5" i="1"/>
  <c r="E6" i="1"/>
  <c r="E7" i="1"/>
  <c r="E8" i="1"/>
  <c r="E9" i="1"/>
  <c r="E10" i="1"/>
  <c r="E12" i="1"/>
  <c r="E13" i="1"/>
  <c r="E15" i="1"/>
  <c r="E16" i="1"/>
  <c r="E17" i="1"/>
  <c r="E18" i="1"/>
  <c r="E19" i="1"/>
  <c r="E20" i="1"/>
  <c r="E21" i="1"/>
  <c r="E22" i="1"/>
  <c r="E24" i="1"/>
  <c r="E25" i="1"/>
  <c r="E26" i="1"/>
  <c r="E27" i="1"/>
  <c r="E28" i="1"/>
  <c r="E29" i="1"/>
  <c r="E30" i="1"/>
  <c r="E31" i="1"/>
  <c r="E32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9" i="1"/>
  <c r="E51" i="1"/>
  <c r="E52" i="1"/>
</calcChain>
</file>

<file path=xl/sharedStrings.xml><?xml version="1.0" encoding="utf-8"?>
<sst xmlns="http://schemas.openxmlformats.org/spreadsheetml/2006/main" count="64" uniqueCount="60">
  <si>
    <t>year ended</t>
  </si>
  <si>
    <t>2024 $</t>
  </si>
  <si>
    <t>2023 $</t>
  </si>
  <si>
    <t>2022 $</t>
  </si>
  <si>
    <t>cash &amp; cash equi</t>
  </si>
  <si>
    <t>cash flow op act:</t>
  </si>
  <si>
    <t>net income</t>
  </si>
  <si>
    <t>depreciation</t>
  </si>
  <si>
    <t>share-based comp</t>
  </si>
  <si>
    <t>restru &amp; charges</t>
  </si>
  <si>
    <t>Ammortization</t>
  </si>
  <si>
    <t xml:space="preserve"> loss on equity, net</t>
  </si>
  <si>
    <t>loss on divesti</t>
  </si>
  <si>
    <t>deffered tax</t>
  </si>
  <si>
    <t>loss on ppe</t>
  </si>
  <si>
    <t>accts receivable</t>
  </si>
  <si>
    <t>inventories</t>
  </si>
  <si>
    <t>accts payable</t>
  </si>
  <si>
    <t>accrued comp</t>
  </si>
  <si>
    <t>income tax</t>
  </si>
  <si>
    <t>other ass &amp; liab</t>
  </si>
  <si>
    <t>total adjustments</t>
  </si>
  <si>
    <t>net cash op act</t>
  </si>
  <si>
    <t>cash flow inv act:</t>
  </si>
  <si>
    <t>addition to ppe</t>
  </si>
  <si>
    <t>proceed from cap</t>
  </si>
  <si>
    <t>net cash acquired</t>
  </si>
  <si>
    <t>pur short term inv</t>
  </si>
  <si>
    <t>maturities &amp; sales</t>
  </si>
  <si>
    <t>sales of equi inv</t>
  </si>
  <si>
    <t>proceed from dive</t>
  </si>
  <si>
    <t>other investings</t>
  </si>
  <si>
    <t>net cash inv act</t>
  </si>
  <si>
    <t>cash flow fin act:</t>
  </si>
  <si>
    <t>insurance cost</t>
  </si>
  <si>
    <t>repay com. Paper</t>
  </si>
  <si>
    <t>partner contributions</t>
  </si>
  <si>
    <t>proceed from sales</t>
  </si>
  <si>
    <t>repayment of debt</t>
  </si>
  <si>
    <t>restricted stock</t>
  </si>
  <si>
    <t>payment of div</t>
  </si>
  <si>
    <t>other financing</t>
  </si>
  <si>
    <t>net cash by fin act</t>
  </si>
  <si>
    <t>net inc/dec cash equi</t>
  </si>
  <si>
    <t>cash equi end period</t>
  </si>
  <si>
    <t>acq of ppe</t>
  </si>
  <si>
    <t>non-cash suppli:</t>
  </si>
  <si>
    <t>cash paid during yr:</t>
  </si>
  <si>
    <t>interest</t>
  </si>
  <si>
    <t>change in ass &amp; liab:</t>
  </si>
  <si>
    <t>isuance on debt</t>
  </si>
  <si>
    <t xml:space="preserve">$ dif </t>
  </si>
  <si>
    <t>% change</t>
  </si>
  <si>
    <t>$ dif</t>
  </si>
  <si>
    <t xml:space="preserve"> </t>
  </si>
  <si>
    <t>b</t>
  </si>
  <si>
    <t>year</t>
  </si>
  <si>
    <t>operating cash flow</t>
  </si>
  <si>
    <t>CapEx (PP&amp;E)</t>
  </si>
  <si>
    <t>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</si>
</sst>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  <xf numFmtId="0" fontId="2" fillId="2" borderId="1" xfId="0" applyFont="1" applyFill="1" applyBorder="1"/>
    <xf numFmtId="44" fontId="2" fillId="2" borderId="1" xfId="1" applyFont="1" applyFill="1" applyBorder="1"/>
    <xf numFmtId="44" fontId="2" fillId="2" borderId="1" xfId="0" applyNumberFormat="1" applyFont="1" applyFill="1" applyBorder="1"/>
    <xf numFmtId="10" fontId="0" fillId="0" borderId="0" xfId="2" applyNumberFormat="1" applyFont="1"/>
    <xf numFmtId="10" fontId="2" fillId="2" borderId="1" xfId="2" applyNumberFormat="1" applyFont="1" applyFill="1" applyBorder="1"/>
    <xf numFmtId="0" fontId="0" fillId="0" borderId="0" xfId="0" applyAlignment="1">
      <alignment wrapText="1"/>
    </xf>
    <xf numFmtId="0" fontId="0" fillId="0" borderId="0" xfId="0" applyFill="1" applyBorder="1"/>
    <xf numFmtId="0" fontId="0" fillId="3" borderId="1" xfId="0" applyFill="1" applyBorder="1"/>
    <xf numFmtId="44" fontId="0" fillId="3" borderId="1" xfId="1" applyFont="1" applyFill="1" applyBorder="1"/>
    <xf numFmtId="44" fontId="0" fillId="3" borderId="1" xfId="0" applyNumberFormat="1" applyFill="1" applyBorder="1"/>
    <xf numFmtId="10" fontId="0" fillId="3" borderId="1" xfId="2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26" zoomScaleNormal="100" workbookViewId="0">
      <selection activeCell="I31" sqref="I31"/>
    </sheetView>
  </sheetViews>
  <sheetFormatPr defaultRowHeight="14.5" x14ac:dyDescent="0.35"/>
  <cols>
    <col min="1" max="1" width="18.54296875" customWidth="1"/>
    <col min="2" max="4" width="11.7265625" bestFit="1" customWidth="1"/>
    <col min="5" max="5" width="12.6328125" customWidth="1"/>
    <col min="6" max="6" width="9.453125" bestFit="1" customWidth="1"/>
    <col min="7" max="7" width="12.08984375" customWidth="1"/>
  </cols>
  <sheetData>
    <row r="1" spans="1:8" x14ac:dyDescent="0.35">
      <c r="E1" s="3">
        <v>2024</v>
      </c>
      <c r="F1" s="3"/>
      <c r="G1" s="3">
        <v>2023</v>
      </c>
      <c r="H1" s="3"/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51</v>
      </c>
      <c r="F2" t="s">
        <v>52</v>
      </c>
      <c r="G2" t="s">
        <v>53</v>
      </c>
      <c r="H2" t="s">
        <v>52</v>
      </c>
    </row>
    <row r="3" spans="1:8" x14ac:dyDescent="0.35">
      <c r="A3" t="s">
        <v>4</v>
      </c>
      <c r="B3" s="2">
        <v>7079</v>
      </c>
      <c r="C3" s="2">
        <v>11144</v>
      </c>
      <c r="D3" s="2">
        <v>4827</v>
      </c>
      <c r="E3" s="4">
        <f>B3-C3</f>
        <v>-4065</v>
      </c>
      <c r="F3" s="8">
        <f>(E3/C3)</f>
        <v>-0.36477027997128497</v>
      </c>
      <c r="G3" s="4">
        <f>C3-D3</f>
        <v>6317</v>
      </c>
      <c r="H3" s="8">
        <f>(G3/D3)</f>
        <v>1.3086803397555418</v>
      </c>
    </row>
    <row r="4" spans="1:8" x14ac:dyDescent="0.35">
      <c r="A4" t="s">
        <v>5</v>
      </c>
      <c r="B4" s="2"/>
      <c r="C4" s="2"/>
      <c r="D4" s="2"/>
      <c r="F4" s="8"/>
      <c r="H4" s="8"/>
    </row>
    <row r="5" spans="1:8" x14ac:dyDescent="0.35">
      <c r="A5" t="s">
        <v>6</v>
      </c>
      <c r="B5" s="2">
        <v>-19233</v>
      </c>
      <c r="C5" s="2">
        <v>1675</v>
      </c>
      <c r="D5" s="2">
        <v>8017</v>
      </c>
      <c r="E5" s="4">
        <f t="shared" ref="E4:E52" si="0">B5-C5</f>
        <v>-20908</v>
      </c>
      <c r="F5" s="8">
        <f t="shared" ref="F4:F52" si="1">(E5/C5)</f>
        <v>-12.482388059701492</v>
      </c>
      <c r="G5" s="4">
        <f t="shared" ref="G4:G52" si="2">C5-D5</f>
        <v>-6342</v>
      </c>
      <c r="H5" s="8">
        <f t="shared" ref="H4:H52" si="3">(G5/D5)</f>
        <v>-0.79106897842085566</v>
      </c>
    </row>
    <row r="6" spans="1:8" x14ac:dyDescent="0.35">
      <c r="A6" t="s">
        <v>7</v>
      </c>
      <c r="B6" s="2">
        <v>9951</v>
      </c>
      <c r="C6" s="2">
        <v>7847</v>
      </c>
      <c r="D6" s="2">
        <v>11128</v>
      </c>
      <c r="E6" s="4">
        <f t="shared" si="0"/>
        <v>2104</v>
      </c>
      <c r="F6" s="8">
        <f t="shared" si="1"/>
        <v>0.26812794698610937</v>
      </c>
      <c r="G6" s="4">
        <f t="shared" si="2"/>
        <v>-3281</v>
      </c>
      <c r="H6" s="8">
        <f t="shared" si="3"/>
        <v>-0.29484184040258804</v>
      </c>
    </row>
    <row r="7" spans="1:8" x14ac:dyDescent="0.35">
      <c r="A7" t="s">
        <v>8</v>
      </c>
      <c r="B7" s="2">
        <v>3410</v>
      </c>
      <c r="C7" s="2">
        <v>3229</v>
      </c>
      <c r="D7" s="2">
        <v>3128</v>
      </c>
      <c r="E7" s="4">
        <f t="shared" si="0"/>
        <v>181</v>
      </c>
      <c r="F7" s="8">
        <f t="shared" si="1"/>
        <v>5.6054506039021366E-2</v>
      </c>
      <c r="G7" s="4">
        <f t="shared" si="2"/>
        <v>101</v>
      </c>
      <c r="H7" s="8">
        <f t="shared" si="3"/>
        <v>3.2289002557544758E-2</v>
      </c>
    </row>
    <row r="8" spans="1:8" x14ac:dyDescent="0.35">
      <c r="A8" t="s">
        <v>9</v>
      </c>
      <c r="B8" s="2">
        <v>3491</v>
      </c>
      <c r="C8" s="2">
        <v>-424</v>
      </c>
      <c r="D8" s="2">
        <v>1074</v>
      </c>
      <c r="E8" s="4">
        <f t="shared" si="0"/>
        <v>3915</v>
      </c>
      <c r="F8" s="8">
        <f t="shared" si="1"/>
        <v>-9.2334905660377355</v>
      </c>
      <c r="G8" s="4">
        <f t="shared" si="2"/>
        <v>-1498</v>
      </c>
      <c r="H8" s="8">
        <f t="shared" si="3"/>
        <v>-1.3947858472998138</v>
      </c>
    </row>
    <row r="9" spans="1:8" x14ac:dyDescent="0.35">
      <c r="A9" t="s">
        <v>10</v>
      </c>
      <c r="B9" s="2">
        <v>1428</v>
      </c>
      <c r="C9" s="2">
        <v>1755</v>
      </c>
      <c r="D9" s="2">
        <v>1907</v>
      </c>
      <c r="E9" s="4">
        <f t="shared" si="0"/>
        <v>-327</v>
      </c>
      <c r="F9" s="8">
        <f t="shared" si="1"/>
        <v>-0.18632478632478633</v>
      </c>
      <c r="G9" s="4">
        <f t="shared" si="2"/>
        <v>-152</v>
      </c>
      <c r="H9" s="8">
        <f t="shared" si="3"/>
        <v>-7.9706345044572621E-2</v>
      </c>
    </row>
    <row r="10" spans="1:8" x14ac:dyDescent="0.35">
      <c r="A10" s="1" t="s">
        <v>11</v>
      </c>
      <c r="B10" s="2">
        <v>-246</v>
      </c>
      <c r="C10" s="2">
        <v>-42</v>
      </c>
      <c r="D10" s="2">
        <v>-4254</v>
      </c>
      <c r="E10" s="4">
        <f t="shared" si="0"/>
        <v>-204</v>
      </c>
      <c r="F10" s="8">
        <f t="shared" si="1"/>
        <v>4.8571428571428568</v>
      </c>
      <c r="G10" s="4">
        <f t="shared" si="2"/>
        <v>4212</v>
      </c>
      <c r="H10" s="8">
        <f t="shared" si="3"/>
        <v>-0.99012693935119889</v>
      </c>
    </row>
    <row r="11" spans="1:8" x14ac:dyDescent="0.35">
      <c r="A11" t="s">
        <v>12</v>
      </c>
      <c r="B11" s="2"/>
      <c r="C11" s="2"/>
      <c r="D11" s="2"/>
      <c r="F11" s="8"/>
      <c r="H11" s="8"/>
    </row>
    <row r="12" spans="1:8" x14ac:dyDescent="0.35">
      <c r="A12" t="s">
        <v>13</v>
      </c>
      <c r="B12" s="2">
        <v>6132</v>
      </c>
      <c r="C12" s="2">
        <v>-2033</v>
      </c>
      <c r="D12" s="2">
        <v>-5148</v>
      </c>
      <c r="E12" s="4">
        <f t="shared" si="0"/>
        <v>8165</v>
      </c>
      <c r="F12" s="8">
        <f t="shared" si="1"/>
        <v>-4.0162321692080667</v>
      </c>
      <c r="G12" s="4">
        <f t="shared" si="2"/>
        <v>3115</v>
      </c>
      <c r="H12" s="8">
        <f t="shared" si="3"/>
        <v>-0.60508935508935513</v>
      </c>
    </row>
    <row r="13" spans="1:8" x14ac:dyDescent="0.35">
      <c r="A13" t="s">
        <v>14</v>
      </c>
      <c r="B13" s="2">
        <v>2252</v>
      </c>
      <c r="C13" s="2">
        <v>33</v>
      </c>
      <c r="D13" s="2">
        <v>301</v>
      </c>
      <c r="E13" s="4">
        <f t="shared" si="0"/>
        <v>2219</v>
      </c>
      <c r="F13" s="8">
        <f t="shared" si="1"/>
        <v>67.242424242424249</v>
      </c>
      <c r="G13" s="4">
        <f t="shared" si="2"/>
        <v>-268</v>
      </c>
      <c r="H13" s="8">
        <f t="shared" si="3"/>
        <v>-0.89036544850498334</v>
      </c>
    </row>
    <row r="14" spans="1:8" x14ac:dyDescent="0.35">
      <c r="A14" t="s">
        <v>49</v>
      </c>
      <c r="B14" s="2"/>
      <c r="C14" s="2"/>
      <c r="D14" s="2"/>
      <c r="F14" s="8"/>
      <c r="H14" s="8"/>
    </row>
    <row r="15" spans="1:8" x14ac:dyDescent="0.35">
      <c r="A15" s="5" t="s">
        <v>15</v>
      </c>
      <c r="B15" s="6">
        <v>-75</v>
      </c>
      <c r="C15" s="6">
        <v>731</v>
      </c>
      <c r="D15" s="6">
        <v>5327</v>
      </c>
      <c r="E15" s="7">
        <f t="shared" si="0"/>
        <v>-806</v>
      </c>
      <c r="F15" s="9">
        <f t="shared" si="1"/>
        <v>-1.1025991792065664</v>
      </c>
      <c r="G15" s="7">
        <f t="shared" si="2"/>
        <v>-4596</v>
      </c>
      <c r="H15" s="9">
        <f t="shared" si="3"/>
        <v>-0.86277454477191662</v>
      </c>
    </row>
    <row r="16" spans="1:8" x14ac:dyDescent="0.35">
      <c r="A16" s="5" t="s">
        <v>16</v>
      </c>
      <c r="B16" s="6">
        <v>-1105</v>
      </c>
      <c r="C16" s="6">
        <v>2097</v>
      </c>
      <c r="D16" s="6">
        <v>-2436</v>
      </c>
      <c r="E16" s="7">
        <f t="shared" si="0"/>
        <v>-3202</v>
      </c>
      <c r="F16" s="9">
        <f t="shared" si="1"/>
        <v>-1.5269432522651407</v>
      </c>
      <c r="G16" s="7">
        <f t="shared" si="2"/>
        <v>4533</v>
      </c>
      <c r="H16" s="9">
        <f t="shared" si="3"/>
        <v>-1.8608374384236452</v>
      </c>
    </row>
    <row r="17" spans="1:8" x14ac:dyDescent="0.35">
      <c r="A17" t="s">
        <v>17</v>
      </c>
      <c r="B17" s="2">
        <v>634</v>
      </c>
      <c r="C17" s="2">
        <v>-801</v>
      </c>
      <c r="D17" s="2">
        <v>-29</v>
      </c>
      <c r="E17" s="4">
        <f t="shared" si="0"/>
        <v>1435</v>
      </c>
      <c r="F17" s="8">
        <f t="shared" si="1"/>
        <v>-1.7915106117353308</v>
      </c>
      <c r="G17" s="4">
        <f t="shared" si="2"/>
        <v>-772</v>
      </c>
      <c r="H17" s="8">
        <f t="shared" si="3"/>
        <v>26.620689655172413</v>
      </c>
    </row>
    <row r="18" spans="1:8" x14ac:dyDescent="0.35">
      <c r="A18" t="s">
        <v>18</v>
      </c>
      <c r="B18" s="2">
        <v>-218</v>
      </c>
      <c r="C18" s="2">
        <v>-614</v>
      </c>
      <c r="D18" s="2">
        <v>-1533</v>
      </c>
      <c r="E18" s="4">
        <f t="shared" si="0"/>
        <v>396</v>
      </c>
      <c r="F18" s="8">
        <f t="shared" si="1"/>
        <v>-0.64495114006514653</v>
      </c>
      <c r="G18" s="4">
        <f t="shared" si="2"/>
        <v>919</v>
      </c>
      <c r="H18" s="8">
        <f t="shared" si="3"/>
        <v>-0.59947814742335293</v>
      </c>
    </row>
    <row r="19" spans="1:8" x14ac:dyDescent="0.35">
      <c r="A19" t="s">
        <v>19</v>
      </c>
      <c r="B19" s="2">
        <v>-356</v>
      </c>
      <c r="C19" s="2">
        <v>-1498</v>
      </c>
      <c r="D19" s="2">
        <v>613</v>
      </c>
      <c r="E19" s="4">
        <f t="shared" si="0"/>
        <v>1142</v>
      </c>
      <c r="F19" s="8">
        <f t="shared" si="1"/>
        <v>-0.76234979973297734</v>
      </c>
      <c r="G19" s="4">
        <f t="shared" si="2"/>
        <v>-2111</v>
      </c>
      <c r="H19" s="8">
        <f t="shared" si="3"/>
        <v>-3.4437194127243065</v>
      </c>
    </row>
    <row r="20" spans="1:8" x14ac:dyDescent="0.35">
      <c r="A20" t="s">
        <v>20</v>
      </c>
      <c r="B20" s="2">
        <v>2223</v>
      </c>
      <c r="C20" s="2">
        <v>-484</v>
      </c>
      <c r="D20" s="2">
        <v>-1603</v>
      </c>
      <c r="E20" s="4">
        <f t="shared" si="0"/>
        <v>2707</v>
      </c>
      <c r="F20" s="8">
        <f t="shared" si="1"/>
        <v>-5.5929752066115705</v>
      </c>
      <c r="G20" s="4">
        <f t="shared" si="2"/>
        <v>1119</v>
      </c>
      <c r="H20" s="8">
        <f t="shared" si="3"/>
        <v>-0.69806612601372431</v>
      </c>
    </row>
    <row r="21" spans="1:8" x14ac:dyDescent="0.35">
      <c r="A21" t="s">
        <v>21</v>
      </c>
      <c r="B21" s="2">
        <v>27521</v>
      </c>
      <c r="C21" s="2">
        <v>9796</v>
      </c>
      <c r="D21" s="2">
        <v>7416</v>
      </c>
      <c r="E21" s="4">
        <f t="shared" si="0"/>
        <v>17725</v>
      </c>
      <c r="F21" s="8">
        <f t="shared" si="1"/>
        <v>1.8094120048999591</v>
      </c>
      <c r="G21" s="4">
        <f t="shared" si="2"/>
        <v>2380</v>
      </c>
      <c r="H21" s="8">
        <f t="shared" si="3"/>
        <v>0.32092772384034518</v>
      </c>
    </row>
    <row r="22" spans="1:8" s="11" customFormat="1" x14ac:dyDescent="0.35">
      <c r="A22" s="12" t="s">
        <v>22</v>
      </c>
      <c r="B22" s="13">
        <v>8288</v>
      </c>
      <c r="C22" s="13">
        <v>11471</v>
      </c>
      <c r="D22" s="13">
        <v>15433</v>
      </c>
      <c r="E22" s="14">
        <f t="shared" si="0"/>
        <v>-3183</v>
      </c>
      <c r="F22" s="15">
        <f t="shared" si="1"/>
        <v>-0.27748234678755124</v>
      </c>
      <c r="G22" s="14">
        <f t="shared" si="2"/>
        <v>-3962</v>
      </c>
      <c r="H22" s="15">
        <f t="shared" si="3"/>
        <v>-0.25672260739972785</v>
      </c>
    </row>
    <row r="23" spans="1:8" x14ac:dyDescent="0.35">
      <c r="A23" t="s">
        <v>23</v>
      </c>
      <c r="B23" s="2"/>
      <c r="C23" s="2"/>
      <c r="D23" s="2"/>
      <c r="F23" s="8"/>
      <c r="H23" s="8"/>
    </row>
    <row r="24" spans="1:8" x14ac:dyDescent="0.35">
      <c r="A24" s="5" t="s">
        <v>24</v>
      </c>
      <c r="B24" s="6">
        <v>-23944</v>
      </c>
      <c r="C24" s="6">
        <v>-25750</v>
      </c>
      <c r="D24" s="6">
        <v>-24844</v>
      </c>
      <c r="E24" s="7">
        <f t="shared" si="0"/>
        <v>1806</v>
      </c>
      <c r="F24" s="9">
        <f t="shared" si="1"/>
        <v>-7.0135922330097092E-2</v>
      </c>
      <c r="G24" s="7">
        <f t="shared" si="2"/>
        <v>-906</v>
      </c>
      <c r="H24" s="9">
        <f t="shared" si="3"/>
        <v>3.6467557559169216E-2</v>
      </c>
    </row>
    <row r="25" spans="1:8" x14ac:dyDescent="0.35">
      <c r="A25" t="s">
        <v>25</v>
      </c>
      <c r="B25" s="2">
        <v>1936</v>
      </c>
      <c r="C25" s="2">
        <v>1011</v>
      </c>
      <c r="D25" s="2">
        <v>246</v>
      </c>
      <c r="E25" s="4">
        <f t="shared" si="0"/>
        <v>925</v>
      </c>
      <c r="F25" s="8">
        <f t="shared" si="1"/>
        <v>0.91493570722057371</v>
      </c>
      <c r="G25" s="4">
        <f t="shared" si="2"/>
        <v>765</v>
      </c>
      <c r="H25" s="8">
        <f t="shared" si="3"/>
        <v>3.1097560975609757</v>
      </c>
    </row>
    <row r="26" spans="1:8" x14ac:dyDescent="0.35">
      <c r="A26" t="s">
        <v>26</v>
      </c>
      <c r="B26" s="2">
        <v>-82</v>
      </c>
      <c r="C26" s="2">
        <v>-13</v>
      </c>
      <c r="D26" s="2">
        <v>-681</v>
      </c>
      <c r="E26" s="4">
        <f t="shared" si="0"/>
        <v>-69</v>
      </c>
      <c r="F26" s="8">
        <f t="shared" si="1"/>
        <v>5.3076923076923075</v>
      </c>
      <c r="G26" s="4">
        <f t="shared" si="2"/>
        <v>668</v>
      </c>
      <c r="H26" s="8">
        <f t="shared" si="3"/>
        <v>-0.98091042584434651</v>
      </c>
    </row>
    <row r="27" spans="1:8" x14ac:dyDescent="0.35">
      <c r="A27" t="s">
        <v>27</v>
      </c>
      <c r="B27" s="2">
        <v>-37940</v>
      </c>
      <c r="C27" s="2">
        <v>-44414</v>
      </c>
      <c r="D27" s="2">
        <v>-43647</v>
      </c>
      <c r="E27" s="4">
        <f t="shared" si="0"/>
        <v>6474</v>
      </c>
      <c r="F27" s="8">
        <f t="shared" si="1"/>
        <v>-0.14576484892151123</v>
      </c>
      <c r="G27" s="4">
        <f t="shared" si="2"/>
        <v>-767</v>
      </c>
      <c r="H27" s="8">
        <f t="shared" si="3"/>
        <v>1.7572799963342267E-2</v>
      </c>
    </row>
    <row r="28" spans="1:8" x14ac:dyDescent="0.35">
      <c r="A28" t="s">
        <v>28</v>
      </c>
      <c r="B28" s="2">
        <v>41463</v>
      </c>
      <c r="C28" s="2">
        <v>44077</v>
      </c>
      <c r="D28" s="2">
        <v>48730</v>
      </c>
      <c r="E28" s="4">
        <f t="shared" si="0"/>
        <v>-2614</v>
      </c>
      <c r="F28" s="8">
        <f t="shared" si="1"/>
        <v>-5.9305306622501532E-2</v>
      </c>
      <c r="G28" s="4">
        <f t="shared" si="2"/>
        <v>-4653</v>
      </c>
      <c r="H28" s="8">
        <f t="shared" si="3"/>
        <v>-9.5485327313769755E-2</v>
      </c>
    </row>
    <row r="29" spans="1:8" x14ac:dyDescent="0.35">
      <c r="A29" t="s">
        <v>29</v>
      </c>
      <c r="B29" s="2">
        <v>1047</v>
      </c>
      <c r="C29" s="2">
        <v>472</v>
      </c>
      <c r="D29" s="2">
        <v>4961</v>
      </c>
      <c r="E29" s="4">
        <f t="shared" si="0"/>
        <v>575</v>
      </c>
      <c r="F29" s="8">
        <f t="shared" si="1"/>
        <v>1.2182203389830508</v>
      </c>
      <c r="G29" s="4">
        <f t="shared" si="2"/>
        <v>-4489</v>
      </c>
      <c r="H29" s="8">
        <f t="shared" si="3"/>
        <v>-0.90485789155412211</v>
      </c>
    </row>
    <row r="30" spans="1:8" x14ac:dyDescent="0.35">
      <c r="A30" t="s">
        <v>30</v>
      </c>
      <c r="B30" s="2"/>
      <c r="C30" s="2"/>
      <c r="D30" s="2">
        <v>6579</v>
      </c>
      <c r="E30" s="4">
        <f t="shared" si="0"/>
        <v>0</v>
      </c>
      <c r="F30" s="8" t="e">
        <f>(E30/C30)</f>
        <v>#DIV/0!</v>
      </c>
      <c r="G30" s="4">
        <f t="shared" si="2"/>
        <v>-6579</v>
      </c>
      <c r="H30" s="8">
        <f t="shared" si="3"/>
        <v>-1</v>
      </c>
    </row>
    <row r="31" spans="1:8" x14ac:dyDescent="0.35">
      <c r="A31" t="s">
        <v>31</v>
      </c>
      <c r="B31" s="2">
        <v>-736</v>
      </c>
      <c r="C31" s="2">
        <v>576</v>
      </c>
      <c r="D31" s="2">
        <v>1575</v>
      </c>
      <c r="E31" s="4">
        <f t="shared" si="0"/>
        <v>-1312</v>
      </c>
      <c r="F31" s="8">
        <f t="shared" si="1"/>
        <v>-2.2777777777777777</v>
      </c>
      <c r="G31" s="4">
        <f t="shared" si="2"/>
        <v>-999</v>
      </c>
      <c r="H31" s="8">
        <f t="shared" si="3"/>
        <v>-0.63428571428571423</v>
      </c>
    </row>
    <row r="32" spans="1:8" s="11" customFormat="1" x14ac:dyDescent="0.35">
      <c r="A32" s="12" t="s">
        <v>32</v>
      </c>
      <c r="B32" s="13">
        <v>-18256</v>
      </c>
      <c r="C32" s="13">
        <v>-24041</v>
      </c>
      <c r="D32" s="13">
        <v>-10231</v>
      </c>
      <c r="E32" s="14">
        <f t="shared" si="0"/>
        <v>5785</v>
      </c>
      <c r="F32" s="15">
        <f t="shared" si="1"/>
        <v>-0.24063058940975832</v>
      </c>
      <c r="G32" s="14">
        <f t="shared" si="2"/>
        <v>-13810</v>
      </c>
      <c r="H32" s="15">
        <f t="shared" si="3"/>
        <v>1.3498191770110448</v>
      </c>
    </row>
    <row r="33" spans="1:8" x14ac:dyDescent="0.35">
      <c r="A33" t="s">
        <v>33</v>
      </c>
      <c r="B33" s="2"/>
      <c r="C33" s="2" t="s">
        <v>54</v>
      </c>
      <c r="D33" s="2"/>
      <c r="F33" s="8"/>
      <c r="H33" s="8"/>
    </row>
    <row r="34" spans="1:8" x14ac:dyDescent="0.35">
      <c r="A34" t="s">
        <v>34</v>
      </c>
      <c r="B34" s="2">
        <v>7349</v>
      </c>
      <c r="C34" s="2"/>
      <c r="D34" s="2">
        <v>3945</v>
      </c>
      <c r="E34" s="4">
        <f t="shared" si="0"/>
        <v>7349</v>
      </c>
      <c r="F34" s="8" t="e">
        <f t="shared" si="1"/>
        <v>#DIV/0!</v>
      </c>
      <c r="G34" s="4">
        <f t="shared" si="2"/>
        <v>-3945</v>
      </c>
      <c r="H34" s="8">
        <f t="shared" si="3"/>
        <v>-1</v>
      </c>
    </row>
    <row r="35" spans="1:8" x14ac:dyDescent="0.35">
      <c r="A35" t="s">
        <v>35</v>
      </c>
      <c r="B35" s="2">
        <v>-7349</v>
      </c>
      <c r="C35" s="2">
        <v>-3944</v>
      </c>
      <c r="D35" s="2"/>
      <c r="E35" s="4">
        <f t="shared" si="0"/>
        <v>-3405</v>
      </c>
      <c r="F35" s="8">
        <f t="shared" si="1"/>
        <v>0.86333671399594325</v>
      </c>
      <c r="G35" s="4">
        <f t="shared" si="2"/>
        <v>-3944</v>
      </c>
      <c r="H35" s="8" t="e">
        <f>(G35/D35)</f>
        <v>#DIV/0!</v>
      </c>
    </row>
    <row r="36" spans="1:8" x14ac:dyDescent="0.35">
      <c r="A36" t="s">
        <v>36</v>
      </c>
      <c r="B36" s="2">
        <v>12714</v>
      </c>
      <c r="C36" s="2">
        <v>1511</v>
      </c>
      <c r="D36" s="2">
        <v>874</v>
      </c>
      <c r="E36" s="4">
        <f t="shared" si="0"/>
        <v>11203</v>
      </c>
      <c r="F36" s="8">
        <f t="shared" si="1"/>
        <v>7.4142951687624086</v>
      </c>
      <c r="G36" s="4">
        <f t="shared" si="2"/>
        <v>637</v>
      </c>
      <c r="H36" s="8">
        <f t="shared" si="3"/>
        <v>0.72883295194508013</v>
      </c>
    </row>
    <row r="37" spans="1:8" x14ac:dyDescent="0.35">
      <c r="A37" t="s">
        <v>37</v>
      </c>
      <c r="B37" s="2"/>
      <c r="C37" s="2">
        <v>2959</v>
      </c>
      <c r="D37" s="2">
        <v>1032</v>
      </c>
      <c r="E37" s="4">
        <f t="shared" si="0"/>
        <v>-2959</v>
      </c>
      <c r="F37" s="8">
        <f t="shared" si="1"/>
        <v>-1</v>
      </c>
      <c r="G37" s="4">
        <f t="shared" si="2"/>
        <v>1927</v>
      </c>
      <c r="H37" s="8">
        <f t="shared" si="3"/>
        <v>1.8672480620155039</v>
      </c>
    </row>
    <row r="38" spans="1:8" x14ac:dyDescent="0.35">
      <c r="A38" t="s">
        <v>24</v>
      </c>
      <c r="B38" s="2">
        <v>-1178</v>
      </c>
      <c r="C38" s="2"/>
      <c r="D38" s="2"/>
      <c r="E38" s="4">
        <f t="shared" si="0"/>
        <v>-1178</v>
      </c>
      <c r="F38" s="8" t="e">
        <f>(E38/C38)</f>
        <v>#DIV/0!</v>
      </c>
      <c r="G38" s="4">
        <f t="shared" si="2"/>
        <v>0</v>
      </c>
      <c r="H38" s="8" t="e">
        <f>(G38/D38)</f>
        <v>#DIV/0!</v>
      </c>
    </row>
    <row r="39" spans="1:8" x14ac:dyDescent="0.35">
      <c r="A39" t="s">
        <v>50</v>
      </c>
      <c r="B39" s="2">
        <v>2975</v>
      </c>
      <c r="C39" s="2">
        <v>11391</v>
      </c>
      <c r="D39" s="2">
        <v>5548</v>
      </c>
      <c r="E39" s="4">
        <f t="shared" si="0"/>
        <v>-8416</v>
      </c>
      <c r="F39" s="8">
        <f t="shared" si="1"/>
        <v>-0.73882890000877888</v>
      </c>
      <c r="G39" s="4">
        <f t="shared" si="2"/>
        <v>5843</v>
      </c>
      <c r="H39" s="8">
        <f t="shared" si="3"/>
        <v>1.0531723143475127</v>
      </c>
    </row>
    <row r="40" spans="1:8" x14ac:dyDescent="0.35">
      <c r="A40" t="s">
        <v>38</v>
      </c>
      <c r="B40" s="2">
        <v>-2288</v>
      </c>
      <c r="C40" s="2">
        <v>-423</v>
      </c>
      <c r="D40" s="2">
        <v>-4984</v>
      </c>
      <c r="E40" s="4">
        <f t="shared" si="0"/>
        <v>-1865</v>
      </c>
      <c r="F40" s="8">
        <f t="shared" si="1"/>
        <v>4.4089834515366428</v>
      </c>
      <c r="G40" s="4">
        <f t="shared" si="2"/>
        <v>4561</v>
      </c>
      <c r="H40" s="8">
        <f t="shared" si="3"/>
        <v>-0.9151284109149278</v>
      </c>
    </row>
    <row r="41" spans="1:8" x14ac:dyDescent="0.35">
      <c r="A41" t="s">
        <v>37</v>
      </c>
      <c r="B41" s="2">
        <v>987</v>
      </c>
      <c r="C41" s="2">
        <v>1042</v>
      </c>
      <c r="D41" s="2">
        <v>977</v>
      </c>
      <c r="E41" s="4">
        <f t="shared" si="0"/>
        <v>-55</v>
      </c>
      <c r="F41" s="8">
        <f t="shared" si="1"/>
        <v>-5.2783109404990404E-2</v>
      </c>
      <c r="G41" s="4">
        <f t="shared" si="2"/>
        <v>65</v>
      </c>
      <c r="H41" s="8">
        <f t="shared" si="3"/>
        <v>6.6530194472876156E-2</v>
      </c>
    </row>
    <row r="42" spans="1:8" x14ac:dyDescent="0.35">
      <c r="A42" t="s">
        <v>39</v>
      </c>
      <c r="B42" s="2">
        <v>-631</v>
      </c>
      <c r="C42" s="2">
        <v>-534</v>
      </c>
      <c r="D42" s="2">
        <v>-486</v>
      </c>
      <c r="E42" s="4">
        <f t="shared" si="0"/>
        <v>-97</v>
      </c>
      <c r="F42" s="8">
        <f t="shared" si="1"/>
        <v>0.18164794007490637</v>
      </c>
      <c r="G42" s="4">
        <f t="shared" si="2"/>
        <v>-48</v>
      </c>
      <c r="H42" s="8">
        <f t="shared" si="3"/>
        <v>9.8765432098765427E-2</v>
      </c>
    </row>
    <row r="43" spans="1:8" x14ac:dyDescent="0.35">
      <c r="A43" t="s">
        <v>40</v>
      </c>
      <c r="B43" s="2">
        <v>-1599</v>
      </c>
      <c r="C43" s="2">
        <v>-3088</v>
      </c>
      <c r="D43" s="2">
        <v>-5997</v>
      </c>
      <c r="E43" s="4">
        <f t="shared" si="0"/>
        <v>1489</v>
      </c>
      <c r="F43" s="8">
        <f t="shared" si="1"/>
        <v>-0.48218911917098445</v>
      </c>
      <c r="G43" s="4">
        <f t="shared" si="2"/>
        <v>2909</v>
      </c>
      <c r="H43" s="8">
        <f t="shared" si="3"/>
        <v>-0.48507587126896784</v>
      </c>
    </row>
    <row r="44" spans="1:8" x14ac:dyDescent="0.35">
      <c r="A44" t="s">
        <v>41</v>
      </c>
      <c r="B44" s="2">
        <v>158</v>
      </c>
      <c r="C44" s="2">
        <v>-409</v>
      </c>
      <c r="D44" s="2">
        <v>-794</v>
      </c>
      <c r="E44" s="4">
        <f t="shared" si="0"/>
        <v>567</v>
      </c>
      <c r="F44" s="8">
        <f t="shared" si="1"/>
        <v>-1.3863080684596576</v>
      </c>
      <c r="G44" s="4">
        <f t="shared" si="2"/>
        <v>385</v>
      </c>
      <c r="H44" s="8">
        <f t="shared" si="3"/>
        <v>-0.48488664987405544</v>
      </c>
    </row>
    <row r="45" spans="1:8" s="11" customFormat="1" x14ac:dyDescent="0.35">
      <c r="A45" s="12" t="s">
        <v>42</v>
      </c>
      <c r="B45" s="13">
        <v>11138</v>
      </c>
      <c r="C45" s="13">
        <v>8505</v>
      </c>
      <c r="D45" s="13">
        <v>1115</v>
      </c>
      <c r="E45" s="14">
        <f t="shared" si="0"/>
        <v>2633</v>
      </c>
      <c r="F45" s="15">
        <f t="shared" si="1"/>
        <v>0.30958259847148734</v>
      </c>
      <c r="G45" s="14">
        <f t="shared" si="2"/>
        <v>7390</v>
      </c>
      <c r="H45" s="15">
        <f t="shared" si="3"/>
        <v>6.6278026905829597</v>
      </c>
    </row>
    <row r="46" spans="1:8" x14ac:dyDescent="0.35">
      <c r="A46" t="s">
        <v>43</v>
      </c>
      <c r="B46" s="2">
        <v>1170</v>
      </c>
      <c r="C46" s="2">
        <v>-4065</v>
      </c>
      <c r="D46" s="2">
        <v>6317</v>
      </c>
      <c r="E46" s="4">
        <f t="shared" si="0"/>
        <v>5235</v>
      </c>
      <c r="F46" s="8">
        <f t="shared" si="1"/>
        <v>-1.2878228782287824</v>
      </c>
      <c r="G46" s="4">
        <f t="shared" si="2"/>
        <v>-10382</v>
      </c>
      <c r="H46" s="8">
        <f t="shared" si="3"/>
        <v>-1.6435016621814151</v>
      </c>
    </row>
    <row r="47" spans="1:8" x14ac:dyDescent="0.35">
      <c r="A47" t="s">
        <v>44</v>
      </c>
      <c r="B47" s="2">
        <v>8249</v>
      </c>
      <c r="C47" s="2">
        <v>7079</v>
      </c>
      <c r="D47" s="2">
        <v>11144</v>
      </c>
      <c r="E47" s="4">
        <f t="shared" si="0"/>
        <v>1170</v>
      </c>
      <c r="F47" s="8">
        <f t="shared" si="1"/>
        <v>0.1652775815793191</v>
      </c>
      <c r="G47" s="4">
        <f t="shared" si="2"/>
        <v>-4065</v>
      </c>
      <c r="H47" s="8">
        <f t="shared" si="3"/>
        <v>-0.36477027997128497</v>
      </c>
    </row>
    <row r="48" spans="1:8" x14ac:dyDescent="0.35">
      <c r="A48" t="s">
        <v>46</v>
      </c>
      <c r="B48" s="2"/>
      <c r="C48" s="2"/>
      <c r="D48" s="2"/>
      <c r="F48" s="8"/>
      <c r="H48" s="8"/>
    </row>
    <row r="49" spans="1:8" x14ac:dyDescent="0.35">
      <c r="A49" t="s">
        <v>45</v>
      </c>
      <c r="B49" s="2">
        <v>8125</v>
      </c>
      <c r="C49" s="2">
        <v>4804</v>
      </c>
      <c r="D49" s="2">
        <v>5431</v>
      </c>
      <c r="E49" s="4">
        <f t="shared" si="0"/>
        <v>3321</v>
      </c>
      <c r="F49" s="8">
        <f t="shared" si="1"/>
        <v>0.69129891756869277</v>
      </c>
      <c r="G49" s="4">
        <f t="shared" si="2"/>
        <v>-627</v>
      </c>
      <c r="H49" s="8">
        <f t="shared" si="3"/>
        <v>-0.1154483520530289</v>
      </c>
    </row>
    <row r="50" spans="1:8" x14ac:dyDescent="0.35">
      <c r="A50" t="s">
        <v>47</v>
      </c>
      <c r="B50" s="2"/>
      <c r="C50" s="2"/>
      <c r="D50" s="2"/>
      <c r="F50" s="8"/>
      <c r="H50" s="8"/>
    </row>
    <row r="51" spans="1:8" x14ac:dyDescent="0.35">
      <c r="A51" t="s">
        <v>48</v>
      </c>
      <c r="B51" s="2">
        <v>987</v>
      </c>
      <c r="C51" s="2">
        <v>613</v>
      </c>
      <c r="D51" s="2">
        <v>459</v>
      </c>
      <c r="E51" s="4">
        <f t="shared" si="0"/>
        <v>374</v>
      </c>
      <c r="F51" s="8">
        <f t="shared" si="1"/>
        <v>0.61011419249592169</v>
      </c>
      <c r="G51" s="4">
        <f t="shared" si="2"/>
        <v>154</v>
      </c>
      <c r="H51" s="8">
        <f t="shared" si="3"/>
        <v>0.33551198257080611</v>
      </c>
    </row>
    <row r="52" spans="1:8" x14ac:dyDescent="0.35">
      <c r="A52" t="s">
        <v>19</v>
      </c>
      <c r="B52" s="2">
        <v>2202</v>
      </c>
      <c r="C52" s="2">
        <v>2621</v>
      </c>
      <c r="D52" s="2">
        <v>4282</v>
      </c>
      <c r="E52" s="4">
        <f t="shared" si="0"/>
        <v>-419</v>
      </c>
      <c r="F52" s="8">
        <f t="shared" si="1"/>
        <v>-0.15986264784433421</v>
      </c>
      <c r="G52" s="4">
        <f t="shared" si="2"/>
        <v>-1661</v>
      </c>
      <c r="H52" s="8">
        <f t="shared" si="3"/>
        <v>-0.38790284913591777</v>
      </c>
    </row>
    <row r="54" spans="1:8" x14ac:dyDescent="0.35">
      <c r="A54" t="s">
        <v>55</v>
      </c>
    </row>
    <row r="55" spans="1:8" ht="29" x14ac:dyDescent="0.35">
      <c r="A55" t="s">
        <v>56</v>
      </c>
      <c r="B55" s="10" t="s">
        <v>57</v>
      </c>
      <c r="C55" t="s">
        <v>58</v>
      </c>
      <c r="D55" s="10" t="s">
        <v>59</v>
      </c>
    </row>
    <row r="56" spans="1:8" x14ac:dyDescent="0.35">
      <c r="A56">
        <v>2024</v>
      </c>
      <c r="B56" s="2">
        <v>8288</v>
      </c>
      <c r="C56" s="2">
        <v>23944</v>
      </c>
      <c r="D56" s="2">
        <f>B56-C56</f>
        <v>-15656</v>
      </c>
    </row>
    <row r="57" spans="1:8" x14ac:dyDescent="0.35">
      <c r="A57">
        <v>2023</v>
      </c>
      <c r="B57" s="2">
        <v>11471</v>
      </c>
      <c r="C57" s="2">
        <v>25750</v>
      </c>
      <c r="D57" s="2">
        <f t="shared" ref="D57:D58" si="4">B57-C57</f>
        <v>-14279</v>
      </c>
    </row>
    <row r="58" spans="1:8" x14ac:dyDescent="0.35">
      <c r="A58">
        <v>2022</v>
      </c>
      <c r="B58" s="2">
        <v>15433</v>
      </c>
      <c r="C58" s="2">
        <v>24844</v>
      </c>
      <c r="D58" s="2">
        <f t="shared" si="4"/>
        <v>-9411</v>
      </c>
    </row>
  </sheetData>
  <mergeCells count="2"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Subasree Segar</dc:creator>
  <cp:lastModifiedBy>Subasree Segar</cp:lastModifiedBy>
  <dcterms:created xsi:type="dcterms:W3CDTF">2015-06-05T18:17:20Z</dcterms:created>
  <dcterms:modified xsi:type="dcterms:W3CDTF">2026-02-15T16:47:39Z</dcterms:modified>
</cp:coreProperties>
</file>