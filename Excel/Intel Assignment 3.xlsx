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a5fb2b1e4e5af7/Desktop/"/>
    </mc:Choice>
  </mc:AlternateContent>
  <xr:revisionPtr revIDLastSave="321" documentId="11_F25DC773A252ABDACC104830895C538A5BDE58ED" xr6:coauthVersionLast="47" xr6:coauthVersionMax="47" xr10:uidLastSave="{AAA0A6D0-27D4-4090-8E4B-193815647AC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D46" i="1"/>
  <c r="C46" i="1"/>
  <c r="C38" i="1"/>
  <c r="D38" i="1"/>
  <c r="E36" i="1"/>
  <c r="D36" i="1"/>
  <c r="C36" i="1"/>
  <c r="E27" i="1"/>
  <c r="E30" i="1" s="1"/>
  <c r="E37" i="1" s="1"/>
  <c r="E38" i="1" s="1"/>
  <c r="D27" i="1"/>
  <c r="D30" i="1" s="1"/>
  <c r="D37" i="1" s="1"/>
  <c r="C27" i="1"/>
  <c r="C30" i="1" s="1"/>
  <c r="C37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5" i="1"/>
  <c r="H4" i="1"/>
  <c r="F4" i="1"/>
  <c r="D4" i="1"/>
</calcChain>
</file>

<file path=xl/sharedStrings.xml><?xml version="1.0" encoding="utf-8"?>
<sst xmlns="http://schemas.openxmlformats.org/spreadsheetml/2006/main" count="46" uniqueCount="39">
  <si>
    <t>Net Revenue</t>
  </si>
  <si>
    <t>Gross margin</t>
  </si>
  <si>
    <t>Marketing G&amp;A</t>
  </si>
  <si>
    <t>Restructuring &amp; changes</t>
  </si>
  <si>
    <t>Operating Expenses</t>
  </si>
  <si>
    <t>Research &amp; development</t>
  </si>
  <si>
    <t>Cost of sales</t>
  </si>
  <si>
    <t>Operating Income</t>
  </si>
  <si>
    <t>Gain on Equity inv, net</t>
  </si>
  <si>
    <t>Interests and other</t>
  </si>
  <si>
    <t>Income before taxes</t>
  </si>
  <si>
    <t>Provision for tax</t>
  </si>
  <si>
    <t>Net Income</t>
  </si>
  <si>
    <t>(-) NI attributing to interest</t>
  </si>
  <si>
    <t>Net Income attribute to Intel</t>
  </si>
  <si>
    <t>Earnings per share - basic</t>
  </si>
  <si>
    <t>Earnings per share - diluted</t>
  </si>
  <si>
    <t>Weight avg shares : basic</t>
  </si>
  <si>
    <t>Weight avg shares : diluted</t>
  </si>
  <si>
    <t>$</t>
  </si>
  <si>
    <t>%</t>
  </si>
  <si>
    <t>Years Ended (In Millions, Except Per Share Amounts)</t>
  </si>
  <si>
    <t>EBITDA Calculation :</t>
  </si>
  <si>
    <t>Depriciation</t>
  </si>
  <si>
    <t>Amortization</t>
  </si>
  <si>
    <t xml:space="preserve">EBITDA </t>
  </si>
  <si>
    <t>Q- c</t>
  </si>
  <si>
    <t>Q-d</t>
  </si>
  <si>
    <t>In Million</t>
  </si>
  <si>
    <t>EBITDA</t>
  </si>
  <si>
    <t>EBITDA margin</t>
  </si>
  <si>
    <t>EBITDA margin Calculation</t>
  </si>
  <si>
    <t>Q-e</t>
  </si>
  <si>
    <t>In Millions</t>
  </si>
  <si>
    <t>Short-term Debt</t>
  </si>
  <si>
    <t>Long-term Debt</t>
  </si>
  <si>
    <t>Total Debt</t>
  </si>
  <si>
    <t>Debt/EBITDA</t>
  </si>
  <si>
    <t>common size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</si>
</sst>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8" formatCode="_(&quot;$&quot;* #,##0_);_(&quot;$&quot;* \(#,##0\);_(&quot;$&quot;* &quot;-&quot;??_);_(@_)"/>
    <numFmt numFmtId="170" formatCode="0.0%"/>
    <numFmt numFmtId="187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62626"/>
      <name val="Calibri"/>
      <family val="2"/>
    </font>
    <font>
      <sz val="12"/>
      <color theme="1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168" fontId="0" fillId="0" borderId="0" xfId="1" applyNumberFormat="1" applyFont="1"/>
    <xf numFmtId="0" fontId="2" fillId="0" borderId="0" xfId="0" applyFont="1"/>
    <xf numFmtId="168" fontId="2" fillId="0" borderId="0" xfId="1" applyNumberFormat="1" applyFont="1"/>
    <xf numFmtId="44" fontId="2" fillId="0" borderId="0" xfId="1" applyNumberFormat="1" applyFont="1"/>
    <xf numFmtId="0" fontId="2" fillId="0" borderId="0" xfId="1" applyNumberFormat="1" applyFont="1"/>
    <xf numFmtId="15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0" fontId="0" fillId="0" borderId="0" xfId="2" applyNumberFormat="1" applyFont="1"/>
    <xf numFmtId="1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70" fontId="2" fillId="0" borderId="0" xfId="2" applyNumberFormat="1" applyFont="1"/>
    <xf numFmtId="0" fontId="0" fillId="0" borderId="0" xfId="0" applyFont="1"/>
    <xf numFmtId="168" fontId="0" fillId="0" borderId="0" xfId="0" applyNumberFormat="1"/>
    <xf numFmtId="6" fontId="0" fillId="0" borderId="0" xfId="0" applyNumberFormat="1"/>
    <xf numFmtId="168" fontId="2" fillId="0" borderId="0" xfId="0" applyNumberFormat="1" applyFont="1"/>
    <xf numFmtId="10" fontId="2" fillId="0" borderId="0" xfId="2" applyNumberFormat="1" applyFont="1"/>
    <xf numFmtId="168" fontId="4" fillId="0" borderId="0" xfId="1" applyNumberFormat="1" applyFont="1" applyBorder="1" applyAlignment="1">
      <alignment vertical="center" wrapText="1"/>
    </xf>
    <xf numFmtId="168" fontId="5" fillId="0" borderId="0" xfId="1" applyNumberFormat="1" applyFont="1" applyBorder="1" applyAlignment="1">
      <alignment vertical="center" wrapText="1"/>
    </xf>
    <xf numFmtId="187" fontId="0" fillId="0" borderId="0" xfId="0" applyNumberForma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C1" sqref="C1:D1"/>
    </sheetView>
  </sheetViews>
  <sheetFormatPr defaultRowHeight="14.5" x14ac:dyDescent="0.35"/>
  <cols>
    <col min="2" max="2" width="24.08984375" customWidth="1"/>
    <col min="3" max="3" width="14" customWidth="1"/>
    <col min="4" max="4" width="13.36328125" style="1" customWidth="1"/>
    <col min="5" max="5" width="11.08984375" bestFit="1" customWidth="1"/>
    <col min="6" max="6" width="9.1796875" style="1" customWidth="1"/>
    <col min="7" max="7" width="9.1796875" bestFit="1" customWidth="1"/>
    <col min="8" max="8" width="8.7265625" style="1"/>
  </cols>
  <sheetData>
    <row r="1" spans="2:8" x14ac:dyDescent="0.35">
      <c r="C1" s="21" t="s">
        <v>38</v>
      </c>
      <c r="D1" s="21"/>
    </row>
    <row r="2" spans="2:8" x14ac:dyDescent="0.35">
      <c r="B2" s="11" t="s">
        <v>21</v>
      </c>
      <c r="C2" s="10">
        <v>45654</v>
      </c>
      <c r="D2" s="10"/>
      <c r="E2" s="10">
        <v>45290</v>
      </c>
      <c r="F2" s="10"/>
      <c r="G2" s="10">
        <v>44926</v>
      </c>
      <c r="H2" s="10"/>
    </row>
    <row r="3" spans="2:8" x14ac:dyDescent="0.35">
      <c r="B3" s="11"/>
      <c r="C3" s="7" t="s">
        <v>19</v>
      </c>
      <c r="D3" s="8" t="s">
        <v>20</v>
      </c>
      <c r="E3" s="7" t="s">
        <v>19</v>
      </c>
      <c r="F3" s="8" t="s">
        <v>20</v>
      </c>
      <c r="G3" s="7" t="s">
        <v>19</v>
      </c>
      <c r="H3" s="8" t="s">
        <v>20</v>
      </c>
    </row>
    <row r="4" spans="2:8" x14ac:dyDescent="0.35">
      <c r="B4" t="s">
        <v>0</v>
      </c>
      <c r="C4" s="2">
        <v>53101</v>
      </c>
      <c r="D4" s="9">
        <f>C4/C$4</f>
        <v>1</v>
      </c>
      <c r="E4" s="2">
        <v>54228</v>
      </c>
      <c r="F4" s="9">
        <f>E4/E$4</f>
        <v>1</v>
      </c>
      <c r="G4" s="2">
        <v>63054</v>
      </c>
      <c r="H4" s="9">
        <f>G4/G$4</f>
        <v>1</v>
      </c>
    </row>
    <row r="5" spans="2:8" x14ac:dyDescent="0.35">
      <c r="B5" t="s">
        <v>6</v>
      </c>
      <c r="C5" s="2">
        <v>35756</v>
      </c>
      <c r="D5" s="9">
        <f>C5/C$4</f>
        <v>0.67335831716916816</v>
      </c>
      <c r="E5" s="2">
        <v>32517</v>
      </c>
      <c r="F5" s="9">
        <f t="shared" ref="F5:F22" si="0">E5/E$4</f>
        <v>0.59963487497233903</v>
      </c>
      <c r="G5" s="2">
        <v>36188</v>
      </c>
      <c r="H5" s="9">
        <f t="shared" ref="H5:H22" si="1">G5/G$4</f>
        <v>0.57392076632727507</v>
      </c>
    </row>
    <row r="6" spans="2:8" x14ac:dyDescent="0.35">
      <c r="B6" s="3" t="s">
        <v>1</v>
      </c>
      <c r="C6" s="4">
        <v>17345</v>
      </c>
      <c r="D6" s="12">
        <f t="shared" ref="D6:D22" si="2">C6/C$4</f>
        <v>0.32664168283083184</v>
      </c>
      <c r="E6" s="4">
        <v>21711</v>
      </c>
      <c r="F6" s="12">
        <f t="shared" si="0"/>
        <v>0.40036512502766097</v>
      </c>
      <c r="G6" s="4">
        <v>26866</v>
      </c>
      <c r="H6" s="12">
        <f t="shared" si="1"/>
        <v>0.42607923367272499</v>
      </c>
    </row>
    <row r="7" spans="2:8" x14ac:dyDescent="0.35">
      <c r="B7" t="s">
        <v>5</v>
      </c>
      <c r="C7" s="2">
        <v>16546</v>
      </c>
      <c r="D7" s="9">
        <f t="shared" si="2"/>
        <v>0.31159488521873413</v>
      </c>
      <c r="E7" s="2">
        <v>16046</v>
      </c>
      <c r="F7" s="9">
        <f t="shared" si="0"/>
        <v>0.29589879766910082</v>
      </c>
      <c r="G7" s="2">
        <v>17528</v>
      </c>
      <c r="H7" s="9">
        <f t="shared" si="1"/>
        <v>0.27798395026485234</v>
      </c>
    </row>
    <row r="8" spans="2:8" x14ac:dyDescent="0.35">
      <c r="B8" t="s">
        <v>2</v>
      </c>
      <c r="C8" s="2">
        <v>5507</v>
      </c>
      <c r="D8" s="9">
        <f t="shared" si="2"/>
        <v>0.10370802809739929</v>
      </c>
      <c r="E8" s="2">
        <v>5634</v>
      </c>
      <c r="F8" s="9">
        <f t="shared" si="0"/>
        <v>0.10389466696171719</v>
      </c>
      <c r="G8" s="2">
        <v>7002</v>
      </c>
      <c r="H8" s="9">
        <f t="shared" si="1"/>
        <v>0.11104767342278048</v>
      </c>
    </row>
    <row r="9" spans="2:8" x14ac:dyDescent="0.35">
      <c r="B9" t="s">
        <v>3</v>
      </c>
      <c r="C9" s="2">
        <v>6970</v>
      </c>
      <c r="D9" s="9">
        <f t="shared" si="2"/>
        <v>0.13125929831829908</v>
      </c>
      <c r="E9" s="2">
        <v>-62</v>
      </c>
      <c r="F9" s="9">
        <f t="shared" si="0"/>
        <v>-1.1433207936859186E-3</v>
      </c>
      <c r="G9" s="2">
        <v>2</v>
      </c>
      <c r="H9" s="9">
        <f t="shared" si="1"/>
        <v>3.1718844165318618E-5</v>
      </c>
    </row>
    <row r="10" spans="2:8" x14ac:dyDescent="0.35">
      <c r="B10" s="3" t="s">
        <v>4</v>
      </c>
      <c r="C10" s="4">
        <v>29023</v>
      </c>
      <c r="D10" s="12">
        <f t="shared" si="2"/>
        <v>0.54656221163443253</v>
      </c>
      <c r="E10" s="4">
        <v>21618</v>
      </c>
      <c r="F10" s="12">
        <f t="shared" si="0"/>
        <v>0.3986501438371321</v>
      </c>
      <c r="G10" s="4">
        <v>24532</v>
      </c>
      <c r="H10" s="12">
        <f t="shared" si="1"/>
        <v>0.38906334253179814</v>
      </c>
    </row>
    <row r="11" spans="2:8" x14ac:dyDescent="0.35">
      <c r="B11" s="3" t="s">
        <v>7</v>
      </c>
      <c r="C11" s="4">
        <v>-11678</v>
      </c>
      <c r="D11" s="12">
        <f t="shared" si="2"/>
        <v>-0.21992052880360069</v>
      </c>
      <c r="E11" s="4">
        <v>93</v>
      </c>
      <c r="F11" s="12">
        <f t="shared" si="0"/>
        <v>1.714981190528878E-3</v>
      </c>
      <c r="G11" s="4">
        <v>2334</v>
      </c>
      <c r="H11" s="12">
        <f t="shared" si="1"/>
        <v>3.7015891140926828E-2</v>
      </c>
    </row>
    <row r="12" spans="2:8" x14ac:dyDescent="0.35">
      <c r="B12" t="s">
        <v>8</v>
      </c>
      <c r="C12" s="2">
        <v>242</v>
      </c>
      <c r="D12" s="9">
        <f t="shared" si="2"/>
        <v>4.5573529688706423E-3</v>
      </c>
      <c r="E12" s="2">
        <v>40</v>
      </c>
      <c r="F12" s="9">
        <f t="shared" si="0"/>
        <v>7.3762631850704432E-4</v>
      </c>
      <c r="G12" s="2">
        <v>4268</v>
      </c>
      <c r="H12" s="9">
        <f t="shared" si="1"/>
        <v>6.7688013448789927E-2</v>
      </c>
    </row>
    <row r="13" spans="2:8" x14ac:dyDescent="0.35">
      <c r="B13" t="s">
        <v>9</v>
      </c>
      <c r="C13" s="2">
        <v>226</v>
      </c>
      <c r="D13" s="9">
        <f t="shared" si="2"/>
        <v>4.25604037588746E-3</v>
      </c>
      <c r="E13" s="2">
        <v>629</v>
      </c>
      <c r="F13" s="9">
        <f t="shared" si="0"/>
        <v>1.1599173858523272E-2</v>
      </c>
      <c r="G13" s="2">
        <v>1166</v>
      </c>
      <c r="H13" s="9">
        <f t="shared" si="1"/>
        <v>1.8492086148380753E-2</v>
      </c>
    </row>
    <row r="14" spans="2:8" x14ac:dyDescent="0.35">
      <c r="B14" s="3" t="s">
        <v>10</v>
      </c>
      <c r="C14" s="4">
        <v>11210</v>
      </c>
      <c r="D14" s="12">
        <f t="shared" si="2"/>
        <v>0.21110713545884258</v>
      </c>
      <c r="E14" s="4">
        <v>762</v>
      </c>
      <c r="F14" s="12">
        <f t="shared" si="0"/>
        <v>1.4051781367559194E-2</v>
      </c>
      <c r="G14" s="4">
        <v>7768</v>
      </c>
      <c r="H14" s="12">
        <f t="shared" si="1"/>
        <v>0.12319599073809751</v>
      </c>
    </row>
    <row r="15" spans="2:8" x14ac:dyDescent="0.35">
      <c r="B15" t="s">
        <v>11</v>
      </c>
      <c r="C15" s="2">
        <v>8023</v>
      </c>
      <c r="D15" s="9">
        <f t="shared" si="2"/>
        <v>0.15108943334400482</v>
      </c>
      <c r="E15" s="2">
        <v>-913</v>
      </c>
      <c r="F15" s="9">
        <f t="shared" si="0"/>
        <v>-1.6836320719923286E-2</v>
      </c>
      <c r="G15" s="2">
        <v>-249</v>
      </c>
      <c r="H15" s="9">
        <f t="shared" si="1"/>
        <v>-3.9489960985821674E-3</v>
      </c>
    </row>
    <row r="16" spans="2:8" x14ac:dyDescent="0.35">
      <c r="B16" s="3" t="s">
        <v>12</v>
      </c>
      <c r="C16" s="4">
        <v>-19233</v>
      </c>
      <c r="D16" s="12">
        <f t="shared" si="2"/>
        <v>-0.3621965688028474</v>
      </c>
      <c r="E16" s="4">
        <v>1675</v>
      </c>
      <c r="F16" s="12">
        <f t="shared" si="0"/>
        <v>3.088810208748248E-2</v>
      </c>
      <c r="G16" s="4">
        <v>8017</v>
      </c>
      <c r="H16" s="12">
        <f t="shared" si="1"/>
        <v>0.12714498683667966</v>
      </c>
    </row>
    <row r="17" spans="1:8" x14ac:dyDescent="0.35">
      <c r="B17" t="s">
        <v>13</v>
      </c>
      <c r="C17" s="2">
        <v>-477</v>
      </c>
      <c r="D17" s="9">
        <f t="shared" si="2"/>
        <v>-8.9828816783111432E-3</v>
      </c>
      <c r="E17" s="2">
        <v>-14</v>
      </c>
      <c r="F17" s="9">
        <f t="shared" si="0"/>
        <v>-2.5816921147746552E-4</v>
      </c>
      <c r="G17" s="2">
        <v>3</v>
      </c>
      <c r="H17" s="9">
        <f t="shared" si="1"/>
        <v>4.7578266247977927E-5</v>
      </c>
    </row>
    <row r="18" spans="1:8" x14ac:dyDescent="0.35">
      <c r="B18" s="3" t="s">
        <v>14</v>
      </c>
      <c r="C18" s="4">
        <v>-18756</v>
      </c>
      <c r="D18" s="12">
        <f t="shared" si="2"/>
        <v>-0.35321368712453627</v>
      </c>
      <c r="E18" s="4">
        <v>1689</v>
      </c>
      <c r="F18" s="12">
        <f t="shared" si="0"/>
        <v>3.1146271298959947E-2</v>
      </c>
      <c r="G18" s="4">
        <v>8014</v>
      </c>
      <c r="H18" s="12">
        <f t="shared" si="1"/>
        <v>0.1270974085704317</v>
      </c>
    </row>
    <row r="19" spans="1:8" x14ac:dyDescent="0.35">
      <c r="B19" s="3" t="s">
        <v>15</v>
      </c>
      <c r="C19" s="5">
        <v>-4.38</v>
      </c>
      <c r="D19" s="12">
        <f t="shared" si="2"/>
        <v>-8.2484322329146343E-5</v>
      </c>
      <c r="E19" s="5">
        <v>0.04</v>
      </c>
      <c r="F19" s="12">
        <f t="shared" si="0"/>
        <v>7.376263185070443E-7</v>
      </c>
      <c r="G19" s="5">
        <v>1.95</v>
      </c>
      <c r="H19" s="12">
        <f t="shared" si="1"/>
        <v>3.092587306118565E-5</v>
      </c>
    </row>
    <row r="20" spans="1:8" x14ac:dyDescent="0.35">
      <c r="B20" s="3" t="s">
        <v>16</v>
      </c>
      <c r="C20" s="5">
        <v>-4.38</v>
      </c>
      <c r="D20" s="12">
        <f t="shared" si="2"/>
        <v>-8.2484322329146343E-5</v>
      </c>
      <c r="E20" s="5">
        <v>0.04</v>
      </c>
      <c r="F20" s="12">
        <f t="shared" si="0"/>
        <v>7.376263185070443E-7</v>
      </c>
      <c r="G20" s="5">
        <v>1.94</v>
      </c>
      <c r="H20" s="12">
        <f t="shared" si="1"/>
        <v>3.0767278840359059E-5</v>
      </c>
    </row>
    <row r="21" spans="1:8" x14ac:dyDescent="0.35">
      <c r="B21" s="3" t="s">
        <v>17</v>
      </c>
      <c r="C21" s="4">
        <v>4280</v>
      </c>
      <c r="D21" s="12">
        <f t="shared" si="2"/>
        <v>8.0601118623001455E-2</v>
      </c>
      <c r="E21" s="4">
        <v>4190</v>
      </c>
      <c r="F21" s="12">
        <f t="shared" si="0"/>
        <v>7.7266356863612898E-2</v>
      </c>
      <c r="G21" s="4">
        <v>4108</v>
      </c>
      <c r="H21" s="12">
        <f t="shared" si="1"/>
        <v>6.5150505915564441E-2</v>
      </c>
    </row>
    <row r="22" spans="1:8" x14ac:dyDescent="0.35">
      <c r="B22" s="3" t="s">
        <v>18</v>
      </c>
      <c r="C22" s="4">
        <v>4280</v>
      </c>
      <c r="D22" s="12">
        <f t="shared" si="2"/>
        <v>8.0601118623001455E-2</v>
      </c>
      <c r="E22" s="4">
        <v>4212</v>
      </c>
      <c r="F22" s="12">
        <f t="shared" si="0"/>
        <v>7.7672051338791764E-2</v>
      </c>
      <c r="G22" s="4">
        <v>4123</v>
      </c>
      <c r="H22" s="12">
        <f t="shared" si="1"/>
        <v>6.5388397246804328E-2</v>
      </c>
    </row>
    <row r="23" spans="1:8" x14ac:dyDescent="0.35">
      <c r="B23" s="3"/>
      <c r="C23" s="4"/>
      <c r="D23" s="12"/>
      <c r="E23" s="4"/>
      <c r="F23" s="12"/>
      <c r="G23" s="4"/>
      <c r="H23" s="12"/>
    </row>
    <row r="24" spans="1:8" x14ac:dyDescent="0.35">
      <c r="A24" t="s">
        <v>26</v>
      </c>
      <c r="B24" s="3"/>
      <c r="C24" s="4"/>
      <c r="D24" s="12"/>
      <c r="E24" s="4"/>
      <c r="F24" s="12"/>
      <c r="G24" s="4"/>
      <c r="H24" s="12"/>
    </row>
    <row r="25" spans="1:8" x14ac:dyDescent="0.35">
      <c r="C25" s="6">
        <v>2024</v>
      </c>
      <c r="D25" s="1">
        <v>2023</v>
      </c>
      <c r="E25" s="6">
        <v>2022</v>
      </c>
    </row>
    <row r="26" spans="1:8" x14ac:dyDescent="0.35">
      <c r="B26" s="3" t="s">
        <v>22</v>
      </c>
    </row>
    <row r="27" spans="1:8" x14ac:dyDescent="0.35">
      <c r="B27" s="13" t="s">
        <v>7</v>
      </c>
      <c r="C27" s="14">
        <f>C11</f>
        <v>-11678</v>
      </c>
      <c r="D27" s="14">
        <f>E11</f>
        <v>93</v>
      </c>
      <c r="E27" s="14">
        <f>G11</f>
        <v>2334</v>
      </c>
    </row>
    <row r="28" spans="1:8" x14ac:dyDescent="0.35">
      <c r="B28" s="13" t="s">
        <v>23</v>
      </c>
      <c r="C28" s="2">
        <v>9951</v>
      </c>
      <c r="D28" s="2">
        <v>7847</v>
      </c>
      <c r="E28" s="2">
        <v>11128</v>
      </c>
    </row>
    <row r="29" spans="1:8" x14ac:dyDescent="0.35">
      <c r="B29" s="13" t="s">
        <v>24</v>
      </c>
      <c r="C29" s="2">
        <v>1428</v>
      </c>
      <c r="D29" s="2">
        <v>1755</v>
      </c>
      <c r="E29" s="2">
        <v>1907</v>
      </c>
    </row>
    <row r="30" spans="1:8" x14ac:dyDescent="0.35">
      <c r="B30" s="3" t="s">
        <v>25</v>
      </c>
      <c r="C30" s="16">
        <f>SUM(C27:C29)</f>
        <v>-299</v>
      </c>
      <c r="D30" s="16">
        <f t="shared" ref="D30:E30" si="3">SUM(D27:D29)</f>
        <v>9695</v>
      </c>
      <c r="E30" s="16">
        <f t="shared" si="3"/>
        <v>15369</v>
      </c>
    </row>
    <row r="33" spans="1:5" x14ac:dyDescent="0.35">
      <c r="A33" t="s">
        <v>27</v>
      </c>
    </row>
    <row r="34" spans="1:5" x14ac:dyDescent="0.35">
      <c r="B34" s="13" t="s">
        <v>31</v>
      </c>
    </row>
    <row r="35" spans="1:5" x14ac:dyDescent="0.35">
      <c r="B35" t="s">
        <v>28</v>
      </c>
      <c r="C35">
        <v>2024</v>
      </c>
      <c r="D35" s="1">
        <v>2023</v>
      </c>
      <c r="E35">
        <v>2022</v>
      </c>
    </row>
    <row r="36" spans="1:5" x14ac:dyDescent="0.35">
      <c r="B36" t="s">
        <v>0</v>
      </c>
      <c r="C36" s="14">
        <f>C4</f>
        <v>53101</v>
      </c>
      <c r="D36" s="14">
        <f>E4</f>
        <v>54228</v>
      </c>
      <c r="E36" s="14">
        <f>G4</f>
        <v>63054</v>
      </c>
    </row>
    <row r="37" spans="1:5" x14ac:dyDescent="0.35">
      <c r="B37" t="s">
        <v>29</v>
      </c>
      <c r="C37" s="14">
        <f>C30</f>
        <v>-299</v>
      </c>
      <c r="D37" s="14">
        <f>D30</f>
        <v>9695</v>
      </c>
      <c r="E37" s="14">
        <f>E30</f>
        <v>15369</v>
      </c>
    </row>
    <row r="38" spans="1:5" x14ac:dyDescent="0.35">
      <c r="B38" s="3" t="s">
        <v>30</v>
      </c>
      <c r="C38" s="17">
        <f>C37/C36</f>
        <v>-5.6307790813732318E-3</v>
      </c>
      <c r="D38" s="17">
        <f t="shared" ref="D38:E38" si="4">D37/D36</f>
        <v>0.17878217894814488</v>
      </c>
      <c r="E38" s="17">
        <f t="shared" si="4"/>
        <v>0.24374345798839089</v>
      </c>
    </row>
    <row r="41" spans="1:5" x14ac:dyDescent="0.35">
      <c r="A41" t="s">
        <v>32</v>
      </c>
    </row>
    <row r="42" spans="1:5" x14ac:dyDescent="0.35">
      <c r="B42" t="s">
        <v>33</v>
      </c>
      <c r="C42">
        <v>2024</v>
      </c>
      <c r="D42" s="1">
        <v>2023</v>
      </c>
    </row>
    <row r="43" spans="1:5" ht="16" x14ac:dyDescent="0.35">
      <c r="B43" t="s">
        <v>34</v>
      </c>
      <c r="C43" s="18">
        <v>3729</v>
      </c>
      <c r="D43" s="18">
        <v>2288</v>
      </c>
    </row>
    <row r="44" spans="1:5" ht="16" x14ac:dyDescent="0.35">
      <c r="B44" t="s">
        <v>35</v>
      </c>
      <c r="C44" s="18">
        <v>46282</v>
      </c>
      <c r="D44" s="18">
        <v>46987</v>
      </c>
    </row>
    <row r="45" spans="1:5" ht="16" x14ac:dyDescent="0.35">
      <c r="B45" t="s">
        <v>29</v>
      </c>
      <c r="C45" s="19">
        <v>-299</v>
      </c>
      <c r="D45" s="18">
        <v>9695</v>
      </c>
    </row>
    <row r="46" spans="1:5" x14ac:dyDescent="0.35">
      <c r="B46" t="s">
        <v>36</v>
      </c>
      <c r="C46" s="15">
        <f>C43+C44</f>
        <v>50011</v>
      </c>
      <c r="D46" s="15">
        <f>D43+D44</f>
        <v>49275</v>
      </c>
    </row>
    <row r="47" spans="1:5" x14ac:dyDescent="0.35">
      <c r="B47" t="s">
        <v>37</v>
      </c>
      <c r="C47" s="20">
        <f>C46/C45</f>
        <v>-167.2608695652174</v>
      </c>
      <c r="D47" s="20">
        <f>D46/D45</f>
        <v>5.0825167612171223</v>
      </c>
    </row>
  </sheetData>
  <mergeCells count="5">
    <mergeCell ref="C2:D2"/>
    <mergeCell ref="E2:F2"/>
    <mergeCell ref="G2:H2"/>
    <mergeCell ref="B2:B3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Subasree Segar</dc:creator>
  <cp:lastModifiedBy>Subasree Segar</cp:lastModifiedBy>
  <dcterms:created xsi:type="dcterms:W3CDTF">2015-06-05T18:17:20Z</dcterms:created>
  <dcterms:modified xsi:type="dcterms:W3CDTF">2026-02-09T01:44:16Z</dcterms:modified>
</cp:coreProperties>
</file>